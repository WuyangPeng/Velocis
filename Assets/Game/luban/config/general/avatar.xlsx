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Item" sheetId="1" r:id="rId1"/>
  </sheets>
  <definedNames>
    <definedName name="_xlnm._FilterDatabase" localSheetId="0" hidden="1">Item!$A$3:$C$9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<sst xmlns="http://schemas.openxmlformats.org/spreadsheetml/2006/main" count="42" uniqueCount="38">
  <si>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##var</t>
  </si>
  <si>
    <t>item_template_id</t>
  </si>
  <si>
    <t>#name</t>
  </si>
  <si>
    <t>quality</t>
  </si>
  <si>
    <t>type</t>
  </si>
  <si>
    <t>icon_res</t>
  </si>
  <si>
    <t>full_res</t>
  </si>
  <si>
    <t>hidden</t>
  </si>
  <si>
    <t>is_open</t>
  </si>
  <si>
    <t>desc</t>
  </si>
  <si>
    <t>attribute</t>
  </si>
  <si>
    <t>##type</t>
  </si>
  <si>
    <t>int</t>
  </si>
  <si>
    <t>quality_type</t>
  </si>
  <si>
    <t>avatar_type</t>
  </si>
  <si>
    <t>string</t>
  </si>
  <si>
    <t>bool</t>
  </si>
  <si>
    <t>list#sep=|,attribute_bonus</t>
  </si>
  <si>
    <t>##</t>
  </si>
  <si>
    <t>头像编号</t>
  </si>
  <si>
    <t>物品名称</t>
  </si>
  <si>
    <t>品质</t>
  </si>
  <si>
    <t>类型</t>
  </si>
  <si>
    <t>小图资源路径</t>
  </si>
  <si>
    <t>详情时的资源路径</t>
  </si>
  <si>
    <t>未解锁时是否在列表中可见</t>
  </si>
  <si>
    <t>英雄是否开放</t>
  </si>
  <si>
    <t>获取途径描述文案</t>
  </si>
  <si>
    <t>属性加成</t>
  </si>
  <si>
    <t>默认头像</t>
  </si>
  <si>
    <t>头像-嬴政</t>
  </si>
  <si>
    <t>头像-刘彻</t>
  </si>
  <si>
    <t>头像-李世民</t>
  </si>
  <si>
    <t>头像-赵飞燕</t>
  </si>
  <si>
    <t>头像-蔡文姬</t>
  </si>
  <si>
    <t>头像-杨玉环</t>
  </si>
  <si>
    <t>头像-白起</t>
  </si>
  <si>
    <t>头像-张骞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</si>
</sst>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FBA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48728904080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1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32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C84732"/>
      <color rgb="00F798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/>
  </sheetPr>
  <dimension ref="A1:K16"/>
  <sheetViews>
    <sheetView tabSelected="1"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C19" sqref="C19"/>
    </sheetView>
  </sheetViews>
  <sheetFormatPr defaultColWidth="9" defaultRowHeight="16.5"/>
  <cols>
    <col min="1" max="1" width="32.8833333333333" style="2" customWidth="1"/>
    <col min="2" max="2" width="18.125" style="2" customWidth="1"/>
    <col min="3" max="3" width="29.75" style="2" customWidth="1"/>
    <col min="4" max="4" width="12.75" style="2" customWidth="1"/>
    <col min="5" max="5" width="12.125" style="2" customWidth="1"/>
    <col min="6" max="6" width="37.25" style="2" customWidth="1"/>
    <col min="7" max="7" width="17.125" style="2" customWidth="1"/>
    <col min="8" max="9" width="25.375" style="2" customWidth="1"/>
    <col min="10" max="10" width="17.125" style="2" customWidth="1"/>
    <col min="11" max="11" width="27.125" style="2" customWidth="1"/>
    <col min="12" max="16384" width="9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D2" s="1" t="s">
        <v>13</v>
      </c>
      <c r="E2" s="1" t="s">
        <v>14</v>
      </c>
      <c r="F2" s="1" t="s">
        <v>15</v>
      </c>
      <c r="G2" s="1" t="s">
        <v>15</v>
      </c>
      <c r="H2" s="1" t="s">
        <v>16</v>
      </c>
      <c r="I2" s="1" t="s">
        <v>16</v>
      </c>
      <c r="J2" s="1" t="s">
        <v>15</v>
      </c>
      <c r="K2" s="1" t="s">
        <v>17</v>
      </c>
    </row>
    <row r="3" s="1" customFormat="1" ht="203.1" customHeight="1" spans="1:11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</row>
    <row r="4" spans="1:11">
      <c r="B4" s="2">
        <v>4011001</v>
      </c>
      <c r="C4" s="2" t="s">
        <v>29</v>
      </c>
      <c r="D4" s="2">
        <f>IF(B4="","",MOD(INT(B4/1000),10))</f>
        <v>1</v>
      </c>
      <c r="E4" s="2">
        <f>IF(B4="","",MOD(INT(B4/10000),10))</f>
        <v>1</v>
      </c>
      <c r="F4" s="2" t="str">
        <f>"Assets/Game/Textures/Avatar/"&amp;B4&amp;".png"</f>
        <v>Assets/Game/Textures/Avatar/4011001.png</v>
      </c>
      <c r="H4" s="2" t="b">
        <v>1</v>
      </c>
      <c r="I4" s="2" t="b">
        <v>1</v>
      </c>
    </row>
    <row r="5" spans="1:11">
      <c r="D5" s="2" t="str">
        <f>IF(B5="","",MOD(INT(B5/1000),10))</f>
        <v/>
      </c>
      <c r="E5" s="2" t="str">
        <f>IF(B5="","",MOD(INT(B5/10000),10))</f>
        <v/>
      </c>
    </row>
    <row r="6" spans="1:11">
      <c r="B6" s="2">
        <v>4024001</v>
      </c>
      <c r="C6" s="2" t="s">
        <v>30</v>
      </c>
      <c r="D6" s="2">
        <f>IF(B6="","",MOD(INT(B6/1000),10))</f>
        <v>4</v>
      </c>
      <c r="E6" s="2">
        <f>IF(B6="","",MOD(INT(B6/10000),10))</f>
        <v>2</v>
      </c>
      <c r="F6" s="2" t="str">
        <f>"Assets/Game/Textures/Avatar/"&amp;B6&amp;".png"</f>
        <v>Assets/Game/Textures/Avatar/4024001.png</v>
      </c>
      <c r="H6" s="2" t="b">
        <v>1</v>
      </c>
      <c r="I6" s="2" t="b">
        <v>1</v>
      </c>
    </row>
    <row r="7" spans="1:11">
      <c r="B7" s="2">
        <v>4024002</v>
      </c>
      <c r="C7" s="2" t="s">
        <v>31</v>
      </c>
      <c r="D7" s="2">
        <f>IF(B7="","",MOD(INT(B7/1000),10))</f>
        <v>4</v>
      </c>
      <c r="E7" s="2">
        <f>IF(B7="","",MOD(INT(B7/10000),10))</f>
        <v>2</v>
      </c>
      <c r="F7" s="2" t="str">
        <f>"Assets/Game/Textures/Avatar/"&amp;B7&amp;".png"</f>
        <v>Assets/Game/Textures/Avatar/4024002.png</v>
      </c>
      <c r="H7" s="2" t="b">
        <v>1</v>
      </c>
      <c r="I7" s="2" t="b">
        <v>1</v>
      </c>
    </row>
    <row r="8" spans="1:11">
      <c r="B8" s="2">
        <v>4024003</v>
      </c>
      <c r="C8" s="2" t="s">
        <v>32</v>
      </c>
      <c r="D8" s="2">
        <f>IF(B8="","",MOD(INT(B8/1000),10))</f>
        <v>4</v>
      </c>
      <c r="E8" s="2">
        <f>IF(B8="","",MOD(INT(B8/10000),10))</f>
        <v>2</v>
      </c>
      <c r="F8" s="2" t="str">
        <f>"Assets/Game/Textures/Avatar/"&amp;B8&amp;".png"</f>
        <v>Assets/Game/Textures/Avatar/4024003.png</v>
      </c>
      <c r="H8" s="2" t="b">
        <v>1</v>
      </c>
      <c r="I8" s="2" t="b">
        <v>1</v>
      </c>
    </row>
    <row r="9" spans="1:11">
      <c r="D9" s="2" t="str">
        <f t="shared" ref="D9:D16" si="0">IF(B9="","",MOD(INT(B9/1000),10))</f>
        <v/>
      </c>
      <c r="E9" s="2" t="str">
        <f t="shared" ref="E9:E16" si="1">IF(B9="","",MOD(INT(B9/10000),10))</f>
        <v/>
      </c>
    </row>
    <row r="10" spans="1:11">
      <c r="B10" s="2">
        <v>4034001</v>
      </c>
      <c r="C10" s="2" t="s">
        <v>33</v>
      </c>
      <c r="D10" s="2">
        <f t="shared" si="0"/>
        <v>4</v>
      </c>
      <c r="E10" s="2">
        <f t="shared" si="1"/>
        <v>3</v>
      </c>
      <c r="F10" s="2" t="str">
        <f t="shared" ref="F9:F16" si="2">"Assets/Game/Textures/Avatar/"&amp;B10&amp;".png"</f>
        <v>Assets/Game/Textures/Avatar/4034001.png</v>
      </c>
      <c r="H10" s="2" t="b">
        <v>1</v>
      </c>
      <c r="I10" s="2" t="b">
        <v>1</v>
      </c>
    </row>
    <row r="11" spans="1:11">
      <c r="B11" s="2">
        <v>4034002</v>
      </c>
      <c r="C11" s="2" t="s">
        <v>34</v>
      </c>
      <c r="D11" s="2">
        <f t="shared" si="0"/>
        <v>4</v>
      </c>
      <c r="E11" s="2">
        <f t="shared" si="1"/>
        <v>3</v>
      </c>
      <c r="F11" s="2" t="str">
        <f t="shared" si="2"/>
        <v>Assets/Game/Textures/Avatar/4034002.png</v>
      </c>
      <c r="H11" s="2" t="b">
        <v>1</v>
      </c>
      <c r="I11" s="2" t="b">
        <v>1</v>
      </c>
    </row>
    <row r="12" spans="1:11">
      <c r="B12" s="2">
        <v>4034003</v>
      </c>
      <c r="C12" s="2" t="s">
        <v>35</v>
      </c>
      <c r="D12" s="2">
        <f t="shared" si="0"/>
        <v>4</v>
      </c>
      <c r="E12" s="2">
        <f t="shared" si="1"/>
        <v>3</v>
      </c>
      <c r="F12" s="2" t="str">
        <f t="shared" si="2"/>
        <v>Assets/Game/Textures/Avatar/4034003.png</v>
      </c>
      <c r="H12" s="2" t="b">
        <v>1</v>
      </c>
      <c r="I12" s="2" t="b">
        <v>1</v>
      </c>
    </row>
    <row r="13" spans="1:11">
      <c r="D13" s="2" t="str">
        <f t="shared" si="0"/>
        <v/>
      </c>
      <c r="E13" s="2" t="str">
        <f t="shared" si="1"/>
        <v/>
      </c>
    </row>
    <row r="14" spans="1:11">
      <c r="B14" s="2">
        <v>4044001</v>
      </c>
      <c r="C14" s="2" t="s">
        <v>36</v>
      </c>
      <c r="D14" s="2">
        <f t="shared" si="0"/>
        <v>4</v>
      </c>
      <c r="E14" s="2">
        <f t="shared" si="1"/>
        <v>4</v>
      </c>
      <c r="F14" s="2" t="str">
        <f t="shared" si="2"/>
        <v>Assets/Game/Textures/Avatar/4044001.png</v>
      </c>
      <c r="H14" s="2" t="b">
        <v>1</v>
      </c>
      <c r="I14" s="2" t="b">
        <v>1</v>
      </c>
    </row>
    <row r="15" spans="1:11">
      <c r="B15" s="2">
        <v>4044002</v>
      </c>
      <c r="C15" s="2" t="s">
        <v>37</v>
      </c>
      <c r="D15" s="2">
        <f t="shared" si="0"/>
        <v>4</v>
      </c>
      <c r="E15" s="2">
        <f t="shared" si="1"/>
        <v>4</v>
      </c>
      <c r="F15" s="2" t="str">
        <f t="shared" si="2"/>
        <v>Assets/Game/Textures/Avatar/4044002.png</v>
      </c>
      <c r="H15" s="2" t="b">
        <v>1</v>
      </c>
      <c r="I15" s="2" t="b">
        <v>1</v>
      </c>
    </row>
    <row r="16" spans="1:11">
      <c r="B16" s="2">
        <v>4044003</v>
      </c>
      <c r="C16" s="2" t="s">
        <v>37</v>
      </c>
      <c r="D16" s="2">
        <f t="shared" si="0"/>
        <v>4</v>
      </c>
      <c r="E16" s="2">
        <f t="shared" si="1"/>
        <v>4</v>
      </c>
      <c r="F16" s="2" t="str">
        <f t="shared" si="2"/>
        <v>Assets/Game/Textures/Avatar/4044003.png</v>
      </c>
      <c r="H16" s="2" t="b">
        <v>1</v>
      </c>
      <c r="I16" s="2" t="b">
        <v>1</v>
      </c>
    </row>
  </sheetData>
  <autoFilter xmlns:etc="http://www.wps.cn/officeDocument/2017/etCustomData" ref="A3:C9" etc:filterBottomFollowUsedRange="0">
    <extLst/>
  </autoFilter>
  <conditionalFormatting sqref="D3">
    <cfRule type="duplicateValues" dxfId="0" priority="2"/>
  </conditionalFormatting>
  <conditionalFormatting sqref="B10:B16">
    <cfRule type="duplicateValues" dxfId="0" priority="1"/>
  </conditionalFormatting>
  <conditionalFormatting sqref="B1:B9 B17:B1048576">
    <cfRule type="duplicateValues" dxfId="0" priority="96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太一</cp:lastModifiedBy>
  <dcterms:created xsi:type="dcterms:W3CDTF">2024-07-31T08:51:00Z</dcterms:created>
  <dcterms:modified xsi:type="dcterms:W3CDTF">2026-02-13T16:13:48Z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C36F244D845C4ED1A35F310602C7104B_11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